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_CdC" sheetId="1" state="visible" r:id="rId1"/>
    <sheet name="Synthese" sheetId="2" state="visible" r:id="rId2"/>
  </sheets>
  <definedNames>
    <definedName name="_xlnm._FilterDatabase" localSheetId="0" hidden="1">'Backlog_CdC'!$A$1:$M$39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57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12" customWidth="1" min="4" max="4"/>
    <col width="53" customWidth="1" min="5" max="5"/>
    <col width="12" customWidth="1" min="6" max="6"/>
    <col width="12" customWidth="1" min="7" max="7"/>
    <col width="30" customWidth="1" min="8" max="8"/>
    <col width="12" customWidth="1" min="9" max="9"/>
    <col width="12" customWidth="1" min="10" max="10"/>
    <col width="14" customWidth="1" min="11" max="11"/>
    <col width="13" customWidth="1" min="12" max="12"/>
    <col width="33" customWidth="1" min="13" max="13"/>
  </cols>
  <sheetData>
    <row r="1">
      <c r="A1" s="1" t="inlineStr">
        <is>
          <t>Task ID</t>
        </is>
      </c>
      <c r="B1" s="1" t="inlineStr">
        <is>
          <t>Module</t>
        </is>
      </c>
      <c r="C1" s="1" t="inlineStr">
        <is>
          <t>Tâche</t>
        </is>
      </c>
      <c r="D1" s="1" t="inlineStr">
        <is>
          <t>Type</t>
        </is>
      </c>
      <c r="E1" s="1" t="inlineStr">
        <is>
          <t>Description</t>
        </is>
      </c>
      <c r="F1" s="1" t="inlineStr">
        <is>
          <t>Effort (h)</t>
        </is>
      </c>
      <c r="G1" s="1" t="inlineStr">
        <is>
          <t>Durée (j)</t>
        </is>
      </c>
      <c r="H1" s="1" t="inlineStr">
        <is>
          <t>Dépend de</t>
        </is>
      </c>
      <c r="I1" s="1" t="inlineStr">
        <is>
          <t>Priorité</t>
        </is>
      </c>
      <c r="J1" s="1" t="inlineStr">
        <is>
          <t>Risque</t>
        </is>
      </c>
      <c r="K1" s="1" t="inlineStr">
        <is>
          <t>Responsable</t>
        </is>
      </c>
      <c r="L1" s="1" t="inlineStr">
        <is>
          <t>Statut</t>
        </is>
      </c>
      <c r="M1" s="1" t="inlineStr">
        <is>
          <t>Notes</t>
        </is>
      </c>
    </row>
    <row r="2">
      <c r="A2" s="2" t="inlineStr">
        <is>
          <t>AUTH-1</t>
        </is>
      </c>
      <c r="B2" s="3" t="inlineStr">
        <is>
          <t>Authentification</t>
        </is>
      </c>
      <c r="C2" s="3" t="inlineStr">
        <is>
          <t>Concevoir schema users</t>
        </is>
      </c>
      <c r="D2" s="2" t="inlineStr">
        <is>
          <t>Analysis</t>
        </is>
      </c>
      <c r="E2" s="3" t="inlineStr">
        <is>
          <t>Table users avec contraintes unicité email et index</t>
        </is>
      </c>
      <c r="F2" s="2" t="n">
        <v>4</v>
      </c>
      <c r="G2" s="4">
        <f>F2/8</f>
        <v/>
      </c>
      <c r="H2" s="3" t="inlineStr"/>
      <c r="I2" s="2" t="inlineStr">
        <is>
          <t>P1</t>
        </is>
      </c>
      <c r="J2" s="2" t="inlineStr">
        <is>
          <t>Moyen</t>
        </is>
      </c>
      <c r="K2" s="3" t="inlineStr">
        <is>
          <t>Backend Lead</t>
        </is>
      </c>
      <c r="L2" s="2" t="inlineStr">
        <is>
          <t>Non démarré</t>
        </is>
      </c>
      <c r="M2" s="3" t="inlineStr">
        <is>
          <t>Base pour auth</t>
        </is>
      </c>
    </row>
    <row r="3">
      <c r="A3" s="2" t="inlineStr">
        <is>
          <t>AUTH-2</t>
        </is>
      </c>
      <c r="B3" s="3" t="inlineStr">
        <is>
          <t>Authentification</t>
        </is>
      </c>
      <c r="C3" s="3" t="inlineStr">
        <is>
          <t>Implémenter hash mot de passe</t>
        </is>
      </c>
      <c r="D3" s="2" t="inlineStr">
        <is>
          <t>Dev</t>
        </is>
      </c>
      <c r="E3" s="3" t="inlineStr">
        <is>
          <t>Remplacer stockage clair par hash sécurisé</t>
        </is>
      </c>
      <c r="F3" s="2" t="n">
        <v>3</v>
      </c>
      <c r="G3" s="4">
        <f>F3/8</f>
        <v/>
      </c>
      <c r="H3" s="3" t="inlineStr">
        <is>
          <t>AUTH-1</t>
        </is>
      </c>
      <c r="I3" s="2" t="inlineStr">
        <is>
          <t>P0</t>
        </is>
      </c>
      <c r="J3" s="2" t="inlineStr">
        <is>
          <t>Élevé</t>
        </is>
      </c>
      <c r="K3" s="3" t="inlineStr">
        <is>
          <t>Backend Dev</t>
        </is>
      </c>
      <c r="L3" s="2" t="inlineStr">
        <is>
          <t>Non démarré</t>
        </is>
      </c>
      <c r="M3" s="3" t="inlineStr">
        <is>
          <t>Sécurité critique</t>
        </is>
      </c>
    </row>
    <row r="4">
      <c r="A4" s="2" t="inlineStr">
        <is>
          <t>AUTH-3</t>
        </is>
      </c>
      <c r="B4" s="3" t="inlineStr">
        <is>
          <t>Authentification</t>
        </is>
      </c>
      <c r="C4" s="3" t="inlineStr">
        <is>
          <t>Valider inscription</t>
        </is>
      </c>
      <c r="D4" s="2" t="inlineStr">
        <is>
          <t>Dev</t>
        </is>
      </c>
      <c r="E4" s="3" t="inlineStr">
        <is>
          <t>Validation email téléphone et doublons</t>
        </is>
      </c>
      <c r="F4" s="2" t="n">
        <v>4</v>
      </c>
      <c r="G4" s="4">
        <f>F4/8</f>
        <v/>
      </c>
      <c r="H4" s="3" t="inlineStr">
        <is>
          <t>AUTH-1</t>
        </is>
      </c>
      <c r="I4" s="2" t="inlineStr">
        <is>
          <t>P1</t>
        </is>
      </c>
      <c r="J4" s="2" t="inlineStr">
        <is>
          <t>Moyen</t>
        </is>
      </c>
      <c r="K4" s="3" t="inlineStr">
        <is>
          <t>Backend Dev</t>
        </is>
      </c>
      <c r="L4" s="2" t="inlineStr">
        <is>
          <t>Non démarré</t>
        </is>
      </c>
      <c r="M4" s="3" t="inlineStr">
        <is>
          <t>Contrôles côté service</t>
        </is>
      </c>
    </row>
    <row r="5">
      <c r="A5" s="2" t="inlineStr">
        <is>
          <t>AUTH-4</t>
        </is>
      </c>
      <c r="B5" s="3" t="inlineStr">
        <is>
          <t>Authentification</t>
        </is>
      </c>
      <c r="C5" s="3" t="inlineStr">
        <is>
          <t>Finaliser login</t>
        </is>
      </c>
      <c r="D5" s="2" t="inlineStr">
        <is>
          <t>Dev</t>
        </is>
      </c>
      <c r="E5" s="3" t="inlineStr">
        <is>
          <t>Login avec vérification crédentials et session</t>
        </is>
      </c>
      <c r="F5" s="2" t="n">
        <v>4</v>
      </c>
      <c r="G5" s="4">
        <f>F5/8</f>
        <v/>
      </c>
      <c r="H5" s="3" t="inlineStr">
        <is>
          <t>AUTH-2</t>
        </is>
      </c>
      <c r="I5" s="2" t="inlineStr">
        <is>
          <t>P1</t>
        </is>
      </c>
      <c r="J5" s="2" t="inlineStr">
        <is>
          <t>Moyen</t>
        </is>
      </c>
      <c r="K5" s="3" t="inlineStr">
        <is>
          <t>Backend Dev</t>
        </is>
      </c>
      <c r="L5" s="2" t="inlineStr">
        <is>
          <t>Non démarré</t>
        </is>
      </c>
      <c r="M5" s="3" t="inlineStr">
        <is>
          <t>Nécessaire pour parcours client</t>
        </is>
      </c>
    </row>
    <row r="6">
      <c r="A6" s="2" t="inlineStr">
        <is>
          <t>AUTH-5</t>
        </is>
      </c>
      <c r="B6" s="3" t="inlineStr">
        <is>
          <t>Authentification</t>
        </is>
      </c>
      <c r="C6" s="3" t="inlineStr">
        <is>
          <t>Tests auth unitaires</t>
        </is>
      </c>
      <c r="D6" s="2" t="inlineStr">
        <is>
          <t>Test</t>
        </is>
      </c>
      <c r="E6" s="3" t="inlineStr">
        <is>
          <t>Tests login inscription erreurs</t>
        </is>
      </c>
      <c r="F6" s="2" t="n">
        <v>6</v>
      </c>
      <c r="G6" s="4">
        <f>F6/8</f>
        <v/>
      </c>
      <c r="H6" s="3" t="inlineStr">
        <is>
          <t>AUTH-3,AUTH-4</t>
        </is>
      </c>
      <c r="I6" s="2" t="inlineStr">
        <is>
          <t>P1</t>
        </is>
      </c>
      <c r="J6" s="2" t="inlineStr">
        <is>
          <t>Moyen</t>
        </is>
      </c>
      <c r="K6" s="3" t="inlineStr">
        <is>
          <t>QA</t>
        </is>
      </c>
      <c r="L6" s="2" t="inlineStr">
        <is>
          <t>Non démarré</t>
        </is>
      </c>
      <c r="M6" s="3" t="inlineStr">
        <is>
          <t>Inclure cas invalides</t>
        </is>
      </c>
    </row>
    <row r="7">
      <c r="A7" s="2" t="inlineStr">
        <is>
          <t>PROD-1</t>
        </is>
      </c>
      <c r="B7" s="3" t="inlineStr">
        <is>
          <t>Produits</t>
        </is>
      </c>
      <c r="C7" s="3" t="inlineStr">
        <is>
          <t>Concevoir schema produits</t>
        </is>
      </c>
      <c r="D7" s="2" t="inlineStr">
        <is>
          <t>Analysis</t>
        </is>
      </c>
      <c r="E7" s="3" t="inlineStr">
        <is>
          <t>Table produits catégories prix stock</t>
        </is>
      </c>
      <c r="F7" s="2" t="n">
        <v>4</v>
      </c>
      <c r="G7" s="4">
        <f>F7/8</f>
        <v/>
      </c>
      <c r="H7" s="3" t="inlineStr"/>
      <c r="I7" s="2" t="inlineStr">
        <is>
          <t>P1</t>
        </is>
      </c>
      <c r="J7" s="2" t="inlineStr">
        <is>
          <t>Moyen</t>
        </is>
      </c>
      <c r="K7" s="3" t="inlineStr">
        <is>
          <t>Backend Lead</t>
        </is>
      </c>
      <c r="L7" s="2" t="inlineStr">
        <is>
          <t>Non démarré</t>
        </is>
      </c>
      <c r="M7" s="3" t="inlineStr">
        <is>
          <t>Dépendance catalogue</t>
        </is>
      </c>
    </row>
    <row r="8">
      <c r="A8" s="2" t="inlineStr">
        <is>
          <t>PROD-2</t>
        </is>
      </c>
      <c r="B8" s="3" t="inlineStr">
        <is>
          <t>Produits</t>
        </is>
      </c>
      <c r="C8" s="3" t="inlineStr">
        <is>
          <t>Lister produits avec filtres</t>
        </is>
      </c>
      <c r="D8" s="2" t="inlineStr">
        <is>
          <t>Dev</t>
        </is>
      </c>
      <c r="E8" s="3" t="inlineStr">
        <is>
          <t>Filtrer par catégorie et plage de prix</t>
        </is>
      </c>
      <c r="F8" s="2" t="n">
        <v>6</v>
      </c>
      <c r="G8" s="4">
        <f>F8/8</f>
        <v/>
      </c>
      <c r="H8" s="3" t="inlineStr">
        <is>
          <t>PROD-1</t>
        </is>
      </c>
      <c r="I8" s="2" t="inlineStr">
        <is>
          <t>P1</t>
        </is>
      </c>
      <c r="J8" s="2" t="inlineStr">
        <is>
          <t>Moyen</t>
        </is>
      </c>
      <c r="K8" s="3" t="inlineStr">
        <is>
          <t>Backend Dev</t>
        </is>
      </c>
      <c r="L8" s="2" t="inlineStr">
        <is>
          <t>Non démarré</t>
        </is>
      </c>
      <c r="M8" s="3" t="inlineStr">
        <is>
          <t>Endpoint principal catalogue</t>
        </is>
      </c>
    </row>
    <row r="9">
      <c r="A9" s="2" t="inlineStr">
        <is>
          <t>PROD-3</t>
        </is>
      </c>
      <c r="B9" s="3" t="inlineStr">
        <is>
          <t>Produits</t>
        </is>
      </c>
      <c r="C9" s="3" t="inlineStr">
        <is>
          <t>Détail produit</t>
        </is>
      </c>
      <c r="D9" s="2" t="inlineStr">
        <is>
          <t>Dev</t>
        </is>
      </c>
      <c r="E9" s="3" t="inlineStr">
        <is>
          <t>Retourner infos détaillées et disponibilité stock</t>
        </is>
      </c>
      <c r="F9" s="2" t="n">
        <v>4</v>
      </c>
      <c r="G9" s="4">
        <f>F9/8</f>
        <v/>
      </c>
      <c r="H9" s="3" t="inlineStr">
        <is>
          <t>PROD-1</t>
        </is>
      </c>
      <c r="I9" s="2" t="inlineStr">
        <is>
          <t>P2</t>
        </is>
      </c>
      <c r="J9" s="2" t="inlineStr">
        <is>
          <t>Faible</t>
        </is>
      </c>
      <c r="K9" s="3" t="inlineStr">
        <is>
          <t>Backend Dev</t>
        </is>
      </c>
      <c r="L9" s="2" t="inlineStr">
        <is>
          <t>Non démarré</t>
        </is>
      </c>
      <c r="M9" s="3" t="inlineStr">
        <is>
          <t>Vue fiche produit</t>
        </is>
      </c>
    </row>
    <row r="10">
      <c r="A10" s="2" t="inlineStr">
        <is>
          <t>PROD-4</t>
        </is>
      </c>
      <c r="B10" s="3" t="inlineStr">
        <is>
          <t>Produits</t>
        </is>
      </c>
      <c r="C10" s="3" t="inlineStr">
        <is>
          <t>Recherche produits</t>
        </is>
      </c>
      <c r="D10" s="2" t="inlineStr">
        <is>
          <t>Dev</t>
        </is>
      </c>
      <c r="E10" s="3" t="inlineStr">
        <is>
          <t>Recherche textuelle et tri</t>
        </is>
      </c>
      <c r="F10" s="2" t="n">
        <v>8</v>
      </c>
      <c r="G10" s="4">
        <f>F10/8</f>
        <v/>
      </c>
      <c r="H10" s="3" t="inlineStr">
        <is>
          <t>PROD-2</t>
        </is>
      </c>
      <c r="I10" s="2" t="inlineStr">
        <is>
          <t>P2</t>
        </is>
      </c>
      <c r="J10" s="2" t="inlineStr">
        <is>
          <t>Moyen</t>
        </is>
      </c>
      <c r="K10" s="3" t="inlineStr">
        <is>
          <t>Backend Dev</t>
        </is>
      </c>
      <c r="L10" s="2" t="inlineStr">
        <is>
          <t>Non démarré</t>
        </is>
      </c>
      <c r="M10" s="3" t="inlineStr">
        <is>
          <t>Amélioration UX</t>
        </is>
      </c>
    </row>
    <row r="11">
      <c r="A11" s="2" t="inlineStr">
        <is>
          <t>PROD-5</t>
        </is>
      </c>
      <c r="B11" s="3" t="inlineStr">
        <is>
          <t>Produits</t>
        </is>
      </c>
      <c r="C11" s="3" t="inlineStr">
        <is>
          <t>Tests catalogue</t>
        </is>
      </c>
      <c r="D11" s="2" t="inlineStr">
        <is>
          <t>Test</t>
        </is>
      </c>
      <c r="E11" s="3" t="inlineStr">
        <is>
          <t>Tests filtres recherche et contraintes stock</t>
        </is>
      </c>
      <c r="F11" s="2" t="n">
        <v>6</v>
      </c>
      <c r="G11" s="4">
        <f>F11/8</f>
        <v/>
      </c>
      <c r="H11" s="3" t="inlineStr">
        <is>
          <t>PROD-2,PROD-3</t>
        </is>
      </c>
      <c r="I11" s="2" t="inlineStr">
        <is>
          <t>P2</t>
        </is>
      </c>
      <c r="J11" s="2" t="inlineStr">
        <is>
          <t>Moyen</t>
        </is>
      </c>
      <c r="K11" s="3" t="inlineStr">
        <is>
          <t>QA</t>
        </is>
      </c>
      <c r="L11" s="2" t="inlineStr">
        <is>
          <t>Non démarré</t>
        </is>
      </c>
      <c r="M11" s="3" t="inlineStr">
        <is>
          <t>Valider cas limites</t>
        </is>
      </c>
    </row>
    <row r="12">
      <c r="A12" s="2" t="inlineStr">
        <is>
          <t>CART-1</t>
        </is>
      </c>
      <c r="B12" s="3" t="inlineStr">
        <is>
          <t>Panier</t>
        </is>
      </c>
      <c r="C12" s="3" t="inlineStr">
        <is>
          <t>Concevoir schema panier</t>
        </is>
      </c>
      <c r="D12" s="2" t="inlineStr">
        <is>
          <t>Analysis</t>
        </is>
      </c>
      <c r="E12" s="3" t="inlineStr">
        <is>
          <t>Tables cart et cart_items</t>
        </is>
      </c>
      <c r="F12" s="2" t="n">
        <v>4</v>
      </c>
      <c r="G12" s="4">
        <f>F12/8</f>
        <v/>
      </c>
      <c r="H12" s="3" t="inlineStr"/>
      <c r="I12" s="2" t="inlineStr">
        <is>
          <t>P1</t>
        </is>
      </c>
      <c r="J12" s="2" t="inlineStr">
        <is>
          <t>Moyen</t>
        </is>
      </c>
      <c r="K12" s="3" t="inlineStr">
        <is>
          <t>Backend Lead</t>
        </is>
      </c>
      <c r="L12" s="2" t="inlineStr">
        <is>
          <t>Non démarré</t>
        </is>
      </c>
      <c r="M12" s="3" t="inlineStr">
        <is>
          <t>Pré-requis panier</t>
        </is>
      </c>
    </row>
    <row r="13">
      <c r="A13" s="2" t="inlineStr">
        <is>
          <t>CART-2</t>
        </is>
      </c>
      <c r="B13" s="3" t="inlineStr">
        <is>
          <t>Panier</t>
        </is>
      </c>
      <c r="C13" s="3" t="inlineStr">
        <is>
          <t>Ajouter produit panier</t>
        </is>
      </c>
      <c r="D13" s="2" t="inlineStr">
        <is>
          <t>Dev</t>
        </is>
      </c>
      <c r="E13" s="3" t="inlineStr">
        <is>
          <t>Ajout quantité avec contrôle stock</t>
        </is>
      </c>
      <c r="F13" s="2" t="n">
        <v>8</v>
      </c>
      <c r="G13" s="4">
        <f>F13/8</f>
        <v/>
      </c>
      <c r="H13" s="3" t="inlineStr">
        <is>
          <t>CART-1,PROD-2</t>
        </is>
      </c>
      <c r="I13" s="2" t="inlineStr">
        <is>
          <t>P1</t>
        </is>
      </c>
      <c r="J13" s="2" t="inlineStr">
        <is>
          <t>Élevé</t>
        </is>
      </c>
      <c r="K13" s="3" t="inlineStr">
        <is>
          <t>Backend Dev</t>
        </is>
      </c>
      <c r="L13" s="2" t="inlineStr">
        <is>
          <t>Non démarré</t>
        </is>
      </c>
      <c r="M13" s="3" t="inlineStr">
        <is>
          <t>Point critique métier</t>
        </is>
      </c>
    </row>
    <row r="14">
      <c r="A14" s="2" t="inlineStr">
        <is>
          <t>CART-3</t>
        </is>
      </c>
      <c r="B14" s="3" t="inlineStr">
        <is>
          <t>Panier</t>
        </is>
      </c>
      <c r="C14" s="3" t="inlineStr">
        <is>
          <t>Retirer produit panier</t>
        </is>
      </c>
      <c r="D14" s="2" t="inlineStr">
        <is>
          <t>Dev</t>
        </is>
      </c>
      <c r="E14" s="3" t="inlineStr">
        <is>
          <t>Suppression ligne panier et recalcul</t>
        </is>
      </c>
      <c r="F14" s="2" t="n">
        <v>4</v>
      </c>
      <c r="G14" s="4">
        <f>F14/8</f>
        <v/>
      </c>
      <c r="H14" s="3" t="inlineStr">
        <is>
          <t>CART-2</t>
        </is>
      </c>
      <c r="I14" s="2" t="inlineStr">
        <is>
          <t>P2</t>
        </is>
      </c>
      <c r="J14" s="2" t="inlineStr">
        <is>
          <t>Faible</t>
        </is>
      </c>
      <c r="K14" s="3" t="inlineStr">
        <is>
          <t>Backend Dev</t>
        </is>
      </c>
      <c r="L14" s="2" t="inlineStr">
        <is>
          <t>Non démarré</t>
        </is>
      </c>
      <c r="M14" s="3" t="inlineStr">
        <is>
          <t>Fonction standard</t>
        </is>
      </c>
    </row>
    <row r="15">
      <c r="A15" s="2" t="inlineStr">
        <is>
          <t>CART-4</t>
        </is>
      </c>
      <c r="B15" s="3" t="inlineStr">
        <is>
          <t>Panier</t>
        </is>
      </c>
      <c r="C15" s="3" t="inlineStr">
        <is>
          <t>Calcul total panier</t>
        </is>
      </c>
      <c r="D15" s="2" t="inlineStr">
        <is>
          <t>Dev</t>
        </is>
      </c>
      <c r="E15" s="3" t="inlineStr">
        <is>
          <t>Sous-total taxes remises éventuelles</t>
        </is>
      </c>
      <c r="F15" s="2" t="n">
        <v>6</v>
      </c>
      <c r="G15" s="4">
        <f>F15/8</f>
        <v/>
      </c>
      <c r="H15" s="3" t="inlineStr">
        <is>
          <t>CART-2</t>
        </is>
      </c>
      <c r="I15" s="2" t="inlineStr">
        <is>
          <t>P1</t>
        </is>
      </c>
      <c r="J15" s="2" t="inlineStr">
        <is>
          <t>Moyen</t>
        </is>
      </c>
      <c r="K15" s="3" t="inlineStr">
        <is>
          <t>Backend Dev</t>
        </is>
      </c>
      <c r="L15" s="2" t="inlineStr">
        <is>
          <t>Non démarré</t>
        </is>
      </c>
      <c r="M15" s="3" t="inlineStr">
        <is>
          <t>Base checkout</t>
        </is>
      </c>
    </row>
    <row r="16">
      <c r="A16" s="2" t="inlineStr">
        <is>
          <t>CART-5</t>
        </is>
      </c>
      <c r="B16" s="3" t="inlineStr">
        <is>
          <t>Panier</t>
        </is>
      </c>
      <c r="C16" s="3" t="inlineStr">
        <is>
          <t>Persistance panier</t>
        </is>
      </c>
      <c r="D16" s="2" t="inlineStr">
        <is>
          <t>Dev</t>
        </is>
      </c>
      <c r="E16" s="3" t="inlineStr">
        <is>
          <t>Sauvegarde et restauration session panier</t>
        </is>
      </c>
      <c r="F16" s="2" t="n">
        <v>8</v>
      </c>
      <c r="G16" s="4">
        <f>F16/8</f>
        <v/>
      </c>
      <c r="H16" s="3" t="inlineStr">
        <is>
          <t>CART-1</t>
        </is>
      </c>
      <c r="I16" s="2" t="inlineStr">
        <is>
          <t>P1</t>
        </is>
      </c>
      <c r="J16" s="2" t="inlineStr">
        <is>
          <t>Moyen</t>
        </is>
      </c>
      <c r="K16" s="3" t="inlineStr">
        <is>
          <t>Backend Dev</t>
        </is>
      </c>
      <c r="L16" s="2" t="inlineStr">
        <is>
          <t>Non démarré</t>
        </is>
      </c>
      <c r="M16" s="3" t="inlineStr">
        <is>
          <t>Continuité utilisateur</t>
        </is>
      </c>
    </row>
    <row r="17">
      <c r="A17" s="2" t="inlineStr">
        <is>
          <t>CART-6</t>
        </is>
      </c>
      <c r="B17" s="3" t="inlineStr">
        <is>
          <t>Panier</t>
        </is>
      </c>
      <c r="C17" s="3" t="inlineStr">
        <is>
          <t>Tests panier</t>
        </is>
      </c>
      <c r="D17" s="2" t="inlineStr">
        <is>
          <t>Test</t>
        </is>
      </c>
      <c r="E17" s="3" t="inlineStr">
        <is>
          <t>Tests ajout retrait total et stock</t>
        </is>
      </c>
      <c r="F17" s="2" t="n">
        <v>8</v>
      </c>
      <c r="G17" s="4">
        <f>F17/8</f>
        <v/>
      </c>
      <c r="H17" s="3" t="inlineStr">
        <is>
          <t>CART-2,CART-4</t>
        </is>
      </c>
      <c r="I17" s="2" t="inlineStr">
        <is>
          <t>P1</t>
        </is>
      </c>
      <c r="J17" s="2" t="inlineStr">
        <is>
          <t>Moyen</t>
        </is>
      </c>
      <c r="K17" s="3" t="inlineStr">
        <is>
          <t>QA</t>
        </is>
      </c>
      <c r="L17" s="2" t="inlineStr">
        <is>
          <t>Non démarré</t>
        </is>
      </c>
      <c r="M17" s="3" t="inlineStr">
        <is>
          <t>Inclure concurrence simple</t>
        </is>
      </c>
    </row>
    <row r="18">
      <c r="A18" s="2" t="inlineStr">
        <is>
          <t>ORDER-1</t>
        </is>
      </c>
      <c r="B18" s="3" t="inlineStr">
        <is>
          <t>Commandes</t>
        </is>
      </c>
      <c r="C18" s="3" t="inlineStr">
        <is>
          <t>Concevoir schema commandes</t>
        </is>
      </c>
      <c r="D18" s="2" t="inlineStr">
        <is>
          <t>Analysis</t>
        </is>
      </c>
      <c r="E18" s="3" t="inlineStr">
        <is>
          <t>Tables orders et order_items</t>
        </is>
      </c>
      <c r="F18" s="2" t="n">
        <v>4</v>
      </c>
      <c r="G18" s="4">
        <f>F18/8</f>
        <v/>
      </c>
      <c r="H18" s="3" t="inlineStr"/>
      <c r="I18" s="2" t="inlineStr">
        <is>
          <t>P1</t>
        </is>
      </c>
      <c r="J18" s="2" t="inlineStr">
        <is>
          <t>Moyen</t>
        </is>
      </c>
      <c r="K18" s="3" t="inlineStr">
        <is>
          <t>Backend Lead</t>
        </is>
      </c>
      <c r="L18" s="2" t="inlineStr">
        <is>
          <t>Non démarré</t>
        </is>
      </c>
      <c r="M18" s="3" t="inlineStr">
        <is>
          <t>Pré-requis checkout</t>
        </is>
      </c>
    </row>
    <row r="19">
      <c r="A19" s="2" t="inlineStr">
        <is>
          <t>ORDER-2</t>
        </is>
      </c>
      <c r="B19" s="3" t="inlineStr">
        <is>
          <t>Commandes</t>
        </is>
      </c>
      <c r="C19" s="3" t="inlineStr">
        <is>
          <t>Implémenter checkout</t>
        </is>
      </c>
      <c r="D19" s="2" t="inlineStr">
        <is>
          <t>Dev</t>
        </is>
      </c>
      <c r="E19" s="3" t="inlineStr">
        <is>
          <t>Conversion panier vers commande</t>
        </is>
      </c>
      <c r="F19" s="2" t="n">
        <v>12</v>
      </c>
      <c r="G19" s="4">
        <f>F19/8</f>
        <v/>
      </c>
      <c r="H19" s="3" t="inlineStr">
        <is>
          <t>CART-2,CART-4,ORDER-1</t>
        </is>
      </c>
      <c r="I19" s="2" t="inlineStr">
        <is>
          <t>P1</t>
        </is>
      </c>
      <c r="J19" s="2" t="inlineStr">
        <is>
          <t>Élevé</t>
        </is>
      </c>
      <c r="K19" s="3" t="inlineStr">
        <is>
          <t>Backend Dev</t>
        </is>
      </c>
      <c r="L19" s="2" t="inlineStr">
        <is>
          <t>Non démarré</t>
        </is>
      </c>
      <c r="M19" s="3" t="inlineStr">
        <is>
          <t>Chemin critique</t>
        </is>
      </c>
    </row>
    <row r="20">
      <c r="A20" s="2" t="inlineStr">
        <is>
          <t>ORDER-3</t>
        </is>
      </c>
      <c r="B20" s="3" t="inlineStr">
        <is>
          <t>Commandes</t>
        </is>
      </c>
      <c r="C20" s="3" t="inlineStr">
        <is>
          <t>Workflow statut commande</t>
        </is>
      </c>
      <c r="D20" s="2" t="inlineStr">
        <is>
          <t>Dev</t>
        </is>
      </c>
      <c r="E20" s="3" t="inlineStr">
        <is>
          <t>pending confirmed shipped delivered cancelled</t>
        </is>
      </c>
      <c r="F20" s="2" t="n">
        <v>6</v>
      </c>
      <c r="G20" s="4">
        <f>F20/8</f>
        <v/>
      </c>
      <c r="H20" s="3" t="inlineStr">
        <is>
          <t>ORDER-2</t>
        </is>
      </c>
      <c r="I20" s="2" t="inlineStr">
        <is>
          <t>P2</t>
        </is>
      </c>
      <c r="J20" s="2" t="inlineStr">
        <is>
          <t>Moyen</t>
        </is>
      </c>
      <c r="K20" s="3" t="inlineStr">
        <is>
          <t>Backend Dev</t>
        </is>
      </c>
      <c r="L20" s="2" t="inlineStr">
        <is>
          <t>Non démarré</t>
        </is>
      </c>
      <c r="M20" s="3" t="inlineStr">
        <is>
          <t>Traçabilité commande</t>
        </is>
      </c>
    </row>
    <row r="21">
      <c r="A21" s="2" t="inlineStr">
        <is>
          <t>ORDER-4</t>
        </is>
      </c>
      <c r="B21" s="3" t="inlineStr">
        <is>
          <t>Commandes</t>
        </is>
      </c>
      <c r="C21" s="3" t="inlineStr">
        <is>
          <t>Historique commandes</t>
        </is>
      </c>
      <c r="D21" s="2" t="inlineStr">
        <is>
          <t>Dev</t>
        </is>
      </c>
      <c r="E21" s="3" t="inlineStr">
        <is>
          <t>Lister commandes client avec filtres date</t>
        </is>
      </c>
      <c r="F21" s="2" t="n">
        <v>6</v>
      </c>
      <c r="G21" s="4">
        <f>F21/8</f>
        <v/>
      </c>
      <c r="H21" s="3" t="inlineStr">
        <is>
          <t>ORDER-2</t>
        </is>
      </c>
      <c r="I21" s="2" t="inlineStr">
        <is>
          <t>P2</t>
        </is>
      </c>
      <c r="J21" s="2" t="inlineStr">
        <is>
          <t>Faible</t>
        </is>
      </c>
      <c r="K21" s="3" t="inlineStr">
        <is>
          <t>Backend Dev</t>
        </is>
      </c>
      <c r="L21" s="2" t="inlineStr">
        <is>
          <t>Non démarré</t>
        </is>
      </c>
      <c r="M21" s="3" t="inlineStr">
        <is>
          <t>Fonction client</t>
        </is>
      </c>
    </row>
    <row r="22">
      <c r="A22" s="2" t="inlineStr">
        <is>
          <t>ORDER-5</t>
        </is>
      </c>
      <c r="B22" s="3" t="inlineStr">
        <is>
          <t>Commandes</t>
        </is>
      </c>
      <c r="C22" s="3" t="inlineStr">
        <is>
          <t>Tests intégration commandes</t>
        </is>
      </c>
      <c r="D22" s="2" t="inlineStr">
        <is>
          <t>Test</t>
        </is>
      </c>
      <c r="E22" s="3" t="inlineStr">
        <is>
          <t>Parcours E2E checkout statut historique</t>
        </is>
      </c>
      <c r="F22" s="2" t="n">
        <v>12</v>
      </c>
      <c r="G22" s="4">
        <f>F22/8</f>
        <v/>
      </c>
      <c r="H22" s="3" t="inlineStr">
        <is>
          <t>ORDER-2,ORDER-3</t>
        </is>
      </c>
      <c r="I22" s="2" t="inlineStr">
        <is>
          <t>P1</t>
        </is>
      </c>
      <c r="J22" s="2" t="inlineStr">
        <is>
          <t>Élevé</t>
        </is>
      </c>
      <c r="K22" s="3" t="inlineStr">
        <is>
          <t>QA</t>
        </is>
      </c>
      <c r="L22" s="2" t="inlineStr">
        <is>
          <t>Non démarré</t>
        </is>
      </c>
      <c r="M22" s="3" t="inlineStr">
        <is>
          <t>Valider transactions</t>
        </is>
      </c>
    </row>
    <row r="23">
      <c r="A23" s="2" t="inlineStr">
        <is>
          <t>NET-1</t>
        </is>
      </c>
      <c r="B23" s="3" t="inlineStr">
        <is>
          <t>Réseau Serveur</t>
        </is>
      </c>
      <c r="C23" s="3" t="inlineStr">
        <is>
          <t>Compléter RequestRouter</t>
        </is>
      </c>
      <c r="D23" s="2" t="inlineStr">
        <is>
          <t>Dev</t>
        </is>
      </c>
      <c r="E23" s="3" t="inlineStr">
        <is>
          <t>Gérer tous types de messages métier</t>
        </is>
      </c>
      <c r="F23" s="2" t="n">
        <v>10</v>
      </c>
      <c r="G23" s="4">
        <f>F23/8</f>
        <v/>
      </c>
      <c r="H23" s="3" t="inlineStr">
        <is>
          <t>AUTH-4,PROD-2,CART-2,ORDER-2</t>
        </is>
      </c>
      <c r="I23" s="2" t="inlineStr">
        <is>
          <t>P0</t>
        </is>
      </c>
      <c r="J23" s="2" t="inlineStr">
        <is>
          <t>Élevé</t>
        </is>
      </c>
      <c r="K23" s="3" t="inlineStr">
        <is>
          <t>Backend Lead</t>
        </is>
      </c>
      <c r="L23" s="2" t="inlineStr">
        <is>
          <t>Non démarré</t>
        </is>
      </c>
      <c r="M23" s="3" t="inlineStr">
        <is>
          <t>Bloque endpoints</t>
        </is>
      </c>
    </row>
    <row r="24">
      <c r="A24" s="2" t="inlineStr">
        <is>
          <t>NET-2</t>
        </is>
      </c>
      <c r="B24" s="3" t="inlineStr">
        <is>
          <t>Réseau Serveur</t>
        </is>
      </c>
      <c r="C24" s="3" t="inlineStr">
        <is>
          <t>Normaliser gestion erreurs</t>
        </is>
      </c>
      <c r="D24" s="2" t="inlineStr">
        <is>
          <t>Dev</t>
        </is>
      </c>
      <c r="E24" s="3" t="inlineStr">
        <is>
          <t>Codes erreurs et réponses JSON homogènes</t>
        </is>
      </c>
      <c r="F24" s="2" t="n">
        <v>6</v>
      </c>
      <c r="G24" s="4">
        <f>F24/8</f>
        <v/>
      </c>
      <c r="H24" s="3" t="inlineStr">
        <is>
          <t>NET-1</t>
        </is>
      </c>
      <c r="I24" s="2" t="inlineStr">
        <is>
          <t>P1</t>
        </is>
      </c>
      <c r="J24" s="2" t="inlineStr">
        <is>
          <t>Moyen</t>
        </is>
      </c>
      <c r="K24" s="3" t="inlineStr">
        <is>
          <t>Backend Dev</t>
        </is>
      </c>
      <c r="L24" s="2" t="inlineStr">
        <is>
          <t>Non démarré</t>
        </is>
      </c>
      <c r="M24" s="3" t="inlineStr">
        <is>
          <t>Observabilité</t>
        </is>
      </c>
    </row>
    <row r="25">
      <c r="A25" s="2" t="inlineStr">
        <is>
          <t>NET-3</t>
        </is>
      </c>
      <c r="B25" s="3" t="inlineStr">
        <is>
          <t>Réseau Serveur</t>
        </is>
      </c>
      <c r="C25" s="3" t="inlineStr">
        <is>
          <t>Gérer timeouts et cleanup</t>
        </is>
      </c>
      <c r="D25" s="2" t="inlineStr">
        <is>
          <t>Dev</t>
        </is>
      </c>
      <c r="E25" s="3" t="inlineStr">
        <is>
          <t>Fermeture connexions inactives et ressources</t>
        </is>
      </c>
      <c r="F25" s="2" t="n">
        <v>4</v>
      </c>
      <c r="G25" s="4">
        <f>F25/8</f>
        <v/>
      </c>
      <c r="H25" s="3" t="inlineStr">
        <is>
          <t>NET-1</t>
        </is>
      </c>
      <c r="I25" s="2" t="inlineStr">
        <is>
          <t>P2</t>
        </is>
      </c>
      <c r="J25" s="2" t="inlineStr">
        <is>
          <t>Moyen</t>
        </is>
      </c>
      <c r="K25" s="3" t="inlineStr">
        <is>
          <t>Backend Dev</t>
        </is>
      </c>
      <c r="L25" s="2" t="inlineStr">
        <is>
          <t>Non démarré</t>
        </is>
      </c>
      <c r="M25" s="3" t="inlineStr">
        <is>
          <t>Stabilité serveur</t>
        </is>
      </c>
    </row>
    <row r="26">
      <c r="A26" s="2" t="inlineStr">
        <is>
          <t>NET-4</t>
        </is>
      </c>
      <c r="B26" s="3" t="inlineStr">
        <is>
          <t>Réseau Serveur</t>
        </is>
      </c>
      <c r="C26" s="3" t="inlineStr">
        <is>
          <t>Tests charge concurrence</t>
        </is>
      </c>
      <c r="D26" s="2" t="inlineStr">
        <is>
          <t>Test</t>
        </is>
      </c>
      <c r="E26" s="3" t="inlineStr">
        <is>
          <t>Tester 10+ clients simultanés</t>
        </is>
      </c>
      <c r="F26" s="2" t="n">
        <v>12</v>
      </c>
      <c r="G26" s="4">
        <f>F26/8</f>
        <v/>
      </c>
      <c r="H26" s="3" t="inlineStr">
        <is>
          <t>NET-1,DB-1</t>
        </is>
      </c>
      <c r="I26" s="2" t="inlineStr">
        <is>
          <t>P1</t>
        </is>
      </c>
      <c r="J26" s="2" t="inlineStr">
        <is>
          <t>Élevé</t>
        </is>
      </c>
      <c r="K26" s="3" t="inlineStr">
        <is>
          <t>QA</t>
        </is>
      </c>
      <c r="L26" s="2" t="inlineStr">
        <is>
          <t>Non démarré</t>
        </is>
      </c>
      <c r="M26" s="3" t="inlineStr">
        <is>
          <t>Mesurer limites</t>
        </is>
      </c>
    </row>
    <row r="27">
      <c r="A27" s="2" t="inlineStr">
        <is>
          <t>DB-1</t>
        </is>
      </c>
      <c r="B27" s="3" t="inlineStr">
        <is>
          <t>Base de données</t>
        </is>
      </c>
      <c r="C27" s="3" t="inlineStr">
        <is>
          <t>Mettre en place pool connexions</t>
        </is>
      </c>
      <c r="D27" s="2" t="inlineStr">
        <is>
          <t>Dev</t>
        </is>
      </c>
      <c r="E27" s="3" t="inlineStr">
        <is>
          <t>Remplacer connexions directes par pool</t>
        </is>
      </c>
      <c r="F27" s="2" t="n">
        <v>8</v>
      </c>
      <c r="G27" s="4">
        <f>F27/8</f>
        <v/>
      </c>
      <c r="H27" s="3" t="inlineStr"/>
      <c r="I27" s="2" t="inlineStr">
        <is>
          <t>P1</t>
        </is>
      </c>
      <c r="J27" s="2" t="inlineStr">
        <is>
          <t>Moyen</t>
        </is>
      </c>
      <c r="K27" s="3" t="inlineStr">
        <is>
          <t>Backend Dev</t>
        </is>
      </c>
      <c r="L27" s="2" t="inlineStr">
        <is>
          <t>Non démarré</t>
        </is>
      </c>
      <c r="M27" s="3" t="inlineStr">
        <is>
          <t>Performance</t>
        </is>
      </c>
    </row>
    <row r="28">
      <c r="A28" s="2" t="inlineStr">
        <is>
          <t>DB-2</t>
        </is>
      </c>
      <c r="B28" s="3" t="inlineStr">
        <is>
          <t>Base de données</t>
        </is>
      </c>
      <c r="C28" s="3" t="inlineStr">
        <is>
          <t>Script initialisation SQL</t>
        </is>
      </c>
      <c r="D28" s="2" t="inlineStr">
        <is>
          <t>Infra</t>
        </is>
      </c>
      <c r="E28" s="3" t="inlineStr">
        <is>
          <t>Script création schémas index contraintes</t>
        </is>
      </c>
      <c r="F28" s="2" t="n">
        <v>4</v>
      </c>
      <c r="G28" s="4">
        <f>F28/8</f>
        <v/>
      </c>
      <c r="H28" s="3" t="inlineStr">
        <is>
          <t>AUTH-1,PROD-1,CART-1,ORDER-1</t>
        </is>
      </c>
      <c r="I28" s="2" t="inlineStr">
        <is>
          <t>P1</t>
        </is>
      </c>
      <c r="J28" s="2" t="inlineStr">
        <is>
          <t>Faible</t>
        </is>
      </c>
      <c r="K28" s="3" t="inlineStr">
        <is>
          <t>Backend Dev</t>
        </is>
      </c>
      <c r="L28" s="2" t="inlineStr">
        <is>
          <t>Non démarré</t>
        </is>
      </c>
      <c r="M28" s="3" t="inlineStr">
        <is>
          <t>Onboarding rapide</t>
        </is>
      </c>
    </row>
    <row r="29">
      <c r="A29" s="2" t="inlineStr">
        <is>
          <t>DB-3</t>
        </is>
      </c>
      <c r="B29" s="3" t="inlineStr">
        <is>
          <t>Base de données</t>
        </is>
      </c>
      <c r="C29" s="3" t="inlineStr">
        <is>
          <t>Transactions checkout</t>
        </is>
      </c>
      <c r="D29" s="2" t="inlineStr">
        <is>
          <t>Dev</t>
        </is>
      </c>
      <c r="E29" s="3" t="inlineStr">
        <is>
          <t>Garantir ACID pour opérations commandes stock</t>
        </is>
      </c>
      <c r="F29" s="2" t="n">
        <v>8</v>
      </c>
      <c r="G29" s="4">
        <f>F29/8</f>
        <v/>
      </c>
      <c r="H29" s="3" t="inlineStr">
        <is>
          <t>ORDER-2</t>
        </is>
      </c>
      <c r="I29" s="2" t="inlineStr">
        <is>
          <t>P0</t>
        </is>
      </c>
      <c r="J29" s="2" t="inlineStr">
        <is>
          <t>Élevé</t>
        </is>
      </c>
      <c r="K29" s="3" t="inlineStr">
        <is>
          <t>Backend Lead</t>
        </is>
      </c>
      <c r="L29" s="2" t="inlineStr">
        <is>
          <t>Non démarré</t>
        </is>
      </c>
      <c r="M29" s="3" t="inlineStr">
        <is>
          <t>Évite incohérences</t>
        </is>
      </c>
    </row>
    <row r="30">
      <c r="A30" s="2" t="inlineStr">
        <is>
          <t>DB-4</t>
        </is>
      </c>
      <c r="B30" s="3" t="inlineStr">
        <is>
          <t>Base de données</t>
        </is>
      </c>
      <c r="C30" s="3" t="inlineStr">
        <is>
          <t>Indexation requêtes clés</t>
        </is>
      </c>
      <c r="D30" s="2" t="inlineStr">
        <is>
          <t>Dev</t>
        </is>
      </c>
      <c r="E30" s="3" t="inlineStr">
        <is>
          <t>Indexer user_id product_id order_id</t>
        </is>
      </c>
      <c r="F30" s="2" t="n">
        <v>4</v>
      </c>
      <c r="G30" s="4">
        <f>F30/8</f>
        <v/>
      </c>
      <c r="H30" s="3" t="inlineStr">
        <is>
          <t>DB-2</t>
        </is>
      </c>
      <c r="I30" s="2" t="inlineStr">
        <is>
          <t>P2</t>
        </is>
      </c>
      <c r="J30" s="2" t="inlineStr">
        <is>
          <t>Faible</t>
        </is>
      </c>
      <c r="K30" s="3" t="inlineStr">
        <is>
          <t>Backend Dev</t>
        </is>
      </c>
      <c r="L30" s="2" t="inlineStr">
        <is>
          <t>Non démarré</t>
        </is>
      </c>
      <c r="M30" s="3" t="inlineStr">
        <is>
          <t>Optimisation</t>
        </is>
      </c>
    </row>
    <row r="31">
      <c r="A31" s="2" t="inlineStr">
        <is>
          <t>CLIENT-1</t>
        </is>
      </c>
      <c r="B31" s="3" t="inlineStr">
        <is>
          <t>Client</t>
        </is>
      </c>
      <c r="C31" s="3" t="inlineStr">
        <is>
          <t>Améliorer interface console</t>
        </is>
      </c>
      <c r="D31" s="2" t="inlineStr">
        <is>
          <t>Dev</t>
        </is>
      </c>
      <c r="E31" s="3" t="inlineStr">
        <is>
          <t>Menu plus clair et parcours simplifié</t>
        </is>
      </c>
      <c r="F31" s="2" t="n">
        <v>6</v>
      </c>
      <c r="G31" s="4">
        <f>F31/8</f>
        <v/>
      </c>
      <c r="H31" s="3" t="inlineStr">
        <is>
          <t>AUTH-4,PROD-2</t>
        </is>
      </c>
      <c r="I31" s="2" t="inlineStr">
        <is>
          <t>P3</t>
        </is>
      </c>
      <c r="J31" s="2" t="inlineStr">
        <is>
          <t>Faible</t>
        </is>
      </c>
      <c r="K31" s="3" t="inlineStr">
        <is>
          <t>Frontend Dev</t>
        </is>
      </c>
      <c r="L31" s="2" t="inlineStr">
        <is>
          <t>Non démarré</t>
        </is>
      </c>
      <c r="M31" s="3" t="inlineStr">
        <is>
          <t>Confort utilisateur</t>
        </is>
      </c>
    </row>
    <row r="32">
      <c r="A32" s="2" t="inlineStr">
        <is>
          <t>CLIENT-2</t>
        </is>
      </c>
      <c r="B32" s="3" t="inlineStr">
        <is>
          <t>Client</t>
        </is>
      </c>
      <c r="C32" s="3" t="inlineStr">
        <is>
          <t>Validation saisies client</t>
        </is>
      </c>
      <c r="D32" s="2" t="inlineStr">
        <is>
          <t>Dev</t>
        </is>
      </c>
      <c r="E32" s="3" t="inlineStr">
        <is>
          <t>Vérifier format avant envoi serveur</t>
        </is>
      </c>
      <c r="F32" s="2" t="n">
        <v>4</v>
      </c>
      <c r="G32" s="4">
        <f>F32/8</f>
        <v/>
      </c>
      <c r="H32" s="3" t="inlineStr">
        <is>
          <t>CLIENT-1</t>
        </is>
      </c>
      <c r="I32" s="2" t="inlineStr">
        <is>
          <t>P2</t>
        </is>
      </c>
      <c r="J32" s="2" t="inlineStr">
        <is>
          <t>Faible</t>
        </is>
      </c>
      <c r="K32" s="3" t="inlineStr">
        <is>
          <t>Frontend Dev</t>
        </is>
      </c>
      <c r="L32" s="2" t="inlineStr">
        <is>
          <t>Non démarré</t>
        </is>
      </c>
      <c r="M32" s="3" t="inlineStr">
        <is>
          <t>Réduction erreurs</t>
        </is>
      </c>
    </row>
    <row r="33">
      <c r="A33" s="2" t="inlineStr">
        <is>
          <t>CLIENT-3</t>
        </is>
      </c>
      <c r="B33" s="3" t="inlineStr">
        <is>
          <t>Client</t>
        </is>
      </c>
      <c r="C33" s="3" t="inlineStr">
        <is>
          <t>Tests client</t>
        </is>
      </c>
      <c r="D33" s="2" t="inlineStr">
        <is>
          <t>Test</t>
        </is>
      </c>
      <c r="E33" s="3" t="inlineStr">
        <is>
          <t>Tests parsing et formatage réponses</t>
        </is>
      </c>
      <c r="F33" s="2" t="n">
        <v>4</v>
      </c>
      <c r="G33" s="4">
        <f>F33/8</f>
        <v/>
      </c>
      <c r="H33" s="3" t="inlineStr">
        <is>
          <t>CLIENT-1,CLIENT-2</t>
        </is>
      </c>
      <c r="I33" s="2" t="inlineStr">
        <is>
          <t>P3</t>
        </is>
      </c>
      <c r="J33" s="2" t="inlineStr">
        <is>
          <t>Faible</t>
        </is>
      </c>
      <c r="K33" s="3" t="inlineStr">
        <is>
          <t>QA</t>
        </is>
      </c>
      <c r="L33" s="2" t="inlineStr">
        <is>
          <t>Non démarré</t>
        </is>
      </c>
      <c r="M33" s="3" t="inlineStr">
        <is>
          <t>Qualité IHM console</t>
        </is>
      </c>
    </row>
    <row r="34">
      <c r="A34" s="2" t="inlineStr">
        <is>
          <t>DOC-1</t>
        </is>
      </c>
      <c r="B34" s="3" t="inlineStr">
        <is>
          <t>Documentation Déploiement</t>
        </is>
      </c>
      <c r="C34" s="3" t="inlineStr">
        <is>
          <t>Documenter API</t>
        </is>
      </c>
      <c r="D34" s="2" t="inlineStr">
        <is>
          <t>Docs</t>
        </is>
      </c>
      <c r="E34" s="3" t="inlineStr">
        <is>
          <t>Types requêtes payloads réponses exemples</t>
        </is>
      </c>
      <c r="F34" s="2" t="n">
        <v>6</v>
      </c>
      <c r="G34" s="4">
        <f>F34/8</f>
        <v/>
      </c>
      <c r="H34" s="3" t="inlineStr">
        <is>
          <t>NET-1</t>
        </is>
      </c>
      <c r="I34" s="2" t="inlineStr">
        <is>
          <t>P2</t>
        </is>
      </c>
      <c r="J34" s="2" t="inlineStr">
        <is>
          <t>Faible</t>
        </is>
      </c>
      <c r="K34" s="3" t="inlineStr">
        <is>
          <t>Tech Writer</t>
        </is>
      </c>
      <c r="L34" s="2" t="inlineStr">
        <is>
          <t>Non démarré</t>
        </is>
      </c>
      <c r="M34" s="3" t="inlineStr">
        <is>
          <t>Référence équipe</t>
        </is>
      </c>
    </row>
    <row r="35">
      <c r="A35" s="2" t="inlineStr">
        <is>
          <t>DOC-2</t>
        </is>
      </c>
      <c r="B35" s="3" t="inlineStr">
        <is>
          <t>Documentation Déploiement</t>
        </is>
      </c>
      <c r="C35" s="3" t="inlineStr">
        <is>
          <t>Documenter schéma DB</t>
        </is>
      </c>
      <c r="D35" s="2" t="inlineStr">
        <is>
          <t>Docs</t>
        </is>
      </c>
      <c r="E35" s="3" t="inlineStr">
        <is>
          <t>ERD description tables et relations</t>
        </is>
      </c>
      <c r="F35" s="2" t="n">
        <v>4</v>
      </c>
      <c r="G35" s="4">
        <f>F35/8</f>
        <v/>
      </c>
      <c r="H35" s="3" t="inlineStr">
        <is>
          <t>DB-2</t>
        </is>
      </c>
      <c r="I35" s="2" t="inlineStr">
        <is>
          <t>P2</t>
        </is>
      </c>
      <c r="J35" s="2" t="inlineStr">
        <is>
          <t>Faible</t>
        </is>
      </c>
      <c r="K35" s="3" t="inlineStr">
        <is>
          <t>Tech Writer</t>
        </is>
      </c>
      <c r="L35" s="2" t="inlineStr">
        <is>
          <t>Non démarré</t>
        </is>
      </c>
      <c r="M35" s="3" t="inlineStr">
        <is>
          <t>Support maintenance</t>
        </is>
      </c>
    </row>
    <row r="36">
      <c r="A36" s="2" t="inlineStr">
        <is>
          <t>DOC-3</t>
        </is>
      </c>
      <c r="B36" s="3" t="inlineStr">
        <is>
          <t>Documentation Déploiement</t>
        </is>
      </c>
      <c r="C36" s="3" t="inlineStr">
        <is>
          <t>Guide déploiement</t>
        </is>
      </c>
      <c r="D36" s="2" t="inlineStr">
        <is>
          <t>Docs</t>
        </is>
      </c>
      <c r="E36" s="3" t="inlineStr">
        <is>
          <t>Pré-requis config lancement server client</t>
        </is>
      </c>
      <c r="F36" s="2" t="n">
        <v>4</v>
      </c>
      <c r="G36" s="4">
        <f>F36/8</f>
        <v/>
      </c>
      <c r="H36" s="3" t="inlineStr">
        <is>
          <t>DB-2,NET-1</t>
        </is>
      </c>
      <c r="I36" s="2" t="inlineStr">
        <is>
          <t>P2</t>
        </is>
      </c>
      <c r="J36" s="2" t="inlineStr">
        <is>
          <t>Faible</t>
        </is>
      </c>
      <c r="K36" s="3" t="inlineStr">
        <is>
          <t>DevOps</t>
        </is>
      </c>
      <c r="L36" s="2" t="inlineStr">
        <is>
          <t>Non démarré</t>
        </is>
      </c>
      <c r="M36" s="3" t="inlineStr">
        <is>
          <t>Onboarding</t>
        </is>
      </c>
    </row>
    <row r="37">
      <c r="A37" s="2" t="inlineStr">
        <is>
          <t>DEPLOY-1</t>
        </is>
      </c>
      <c r="B37" s="3" t="inlineStr">
        <is>
          <t>Documentation Déploiement</t>
        </is>
      </c>
      <c r="C37" s="3" t="inlineStr">
        <is>
          <t>Configurer build Maven ou Gradle</t>
        </is>
      </c>
      <c r="D37" s="2" t="inlineStr">
        <is>
          <t>Infra</t>
        </is>
      </c>
      <c r="E37" s="3" t="inlineStr">
        <is>
          <t>Automatiser compilation et exécution tests</t>
        </is>
      </c>
      <c r="F37" s="2" t="n">
        <v>6</v>
      </c>
      <c r="G37" s="4">
        <f>F37/8</f>
        <v/>
      </c>
      <c r="H37" s="3" t="inlineStr">
        <is>
          <t>AUTH-5,PROD-5,CART-6,ORDER-5</t>
        </is>
      </c>
      <c r="I37" s="2" t="inlineStr">
        <is>
          <t>P2</t>
        </is>
      </c>
      <c r="J37" s="2" t="inlineStr">
        <is>
          <t>Moyen</t>
        </is>
      </c>
      <c r="K37" s="3" t="inlineStr">
        <is>
          <t>DevOps</t>
        </is>
      </c>
      <c r="L37" s="2" t="inlineStr">
        <is>
          <t>Non démarré</t>
        </is>
      </c>
      <c r="M37" s="3" t="inlineStr">
        <is>
          <t>Base CI</t>
        </is>
      </c>
    </row>
    <row r="38">
      <c r="A38" s="2" t="inlineStr">
        <is>
          <t>DEPLOY-2</t>
        </is>
      </c>
      <c r="B38" s="3" t="inlineStr">
        <is>
          <t>Documentation Déploiement</t>
        </is>
      </c>
      <c r="C38" s="3" t="inlineStr">
        <is>
          <t>Containeriser application</t>
        </is>
      </c>
      <c r="D38" s="2" t="inlineStr">
        <is>
          <t>Infra</t>
        </is>
      </c>
      <c r="E38" s="3" t="inlineStr">
        <is>
          <t>Dockerfile server client base données</t>
        </is>
      </c>
      <c r="F38" s="2" t="n">
        <v>8</v>
      </c>
      <c r="G38" s="4">
        <f>F38/8</f>
        <v/>
      </c>
      <c r="H38" s="3" t="inlineStr">
        <is>
          <t>DEPLOY-1,DB-2</t>
        </is>
      </c>
      <c r="I38" s="2" t="inlineStr">
        <is>
          <t>P3</t>
        </is>
      </c>
      <c r="J38" s="2" t="inlineStr">
        <is>
          <t>Moyen</t>
        </is>
      </c>
      <c r="K38" s="3" t="inlineStr">
        <is>
          <t>DevOps</t>
        </is>
      </c>
      <c r="L38" s="2" t="inlineStr">
        <is>
          <t>Non démarré</t>
        </is>
      </c>
      <c r="M38" s="3" t="inlineStr">
        <is>
          <t>Portabilité env</t>
        </is>
      </c>
    </row>
    <row r="39">
      <c r="A39" s="2" t="inlineStr">
        <is>
          <t>DEPLOY-3</t>
        </is>
      </c>
      <c r="B39" s="3" t="inlineStr">
        <is>
          <t>Documentation Déploiement</t>
        </is>
      </c>
      <c r="C39" s="3" t="inlineStr">
        <is>
          <t>Mettre CI CD</t>
        </is>
      </c>
      <c r="D39" s="2" t="inlineStr">
        <is>
          <t>Infra</t>
        </is>
      </c>
      <c r="E39" s="3" t="inlineStr">
        <is>
          <t>Pipeline build tests et packaging</t>
        </is>
      </c>
      <c r="F39" s="2" t="n">
        <v>8</v>
      </c>
      <c r="G39" s="4">
        <f>F39/8</f>
        <v/>
      </c>
      <c r="H39" s="3" t="inlineStr">
        <is>
          <t>DEPLOY-1</t>
        </is>
      </c>
      <c r="I39" s="2" t="inlineStr">
        <is>
          <t>P2</t>
        </is>
      </c>
      <c r="J39" s="2" t="inlineStr">
        <is>
          <t>Moyen</t>
        </is>
      </c>
      <c r="K39" s="3" t="inlineStr">
        <is>
          <t>DevOps</t>
        </is>
      </c>
      <c r="L39" s="2" t="inlineStr">
        <is>
          <t>Non démarré</t>
        </is>
      </c>
      <c r="M39" s="3" t="inlineStr">
        <is>
          <t>Qualité continue</t>
        </is>
      </c>
    </row>
  </sheetData>
  <autoFilter ref="A1:M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5" t="inlineStr">
        <is>
          <t>KPI</t>
        </is>
      </c>
      <c r="B1" s="5" t="inlineStr">
        <is>
          <t>Valeur</t>
        </is>
      </c>
    </row>
    <row r="2">
      <c r="A2" s="6" t="inlineStr">
        <is>
          <t>Nombre total de tâches</t>
        </is>
      </c>
      <c r="B2" s="7">
        <f>COUNTA(Backlog_CdC!A:A)-1</f>
        <v/>
      </c>
    </row>
    <row r="3">
      <c r="A3" s="6" t="inlineStr">
        <is>
          <t>Effort total (h)</t>
        </is>
      </c>
      <c r="B3" s="7">
        <f>SUM(Backlog_CdC!F:F)</f>
        <v/>
      </c>
    </row>
    <row r="4">
      <c r="A4" s="6" t="inlineStr">
        <is>
          <t>Durée totale (j)</t>
        </is>
      </c>
      <c r="B4" s="7">
        <f>SUM(Backlog_CdC!G:G)</f>
        <v/>
      </c>
    </row>
    <row r="5">
      <c r="A5" s="6" t="inlineStr">
        <is>
          <t>Tâches critiques (P0/P1)</t>
        </is>
      </c>
      <c r="B5" s="7">
        <f>COUNTIF(Backlog_CdC!I:I,"P0")+COUNTIF(Backlog_CdC!I:I,"P1")</f>
        <v/>
      </c>
    </row>
    <row r="6">
      <c r="A6" s="6" t="inlineStr">
        <is>
          <t>Tâches risque élevé</t>
        </is>
      </c>
      <c r="B6" s="7">
        <f>COUNTIF(Backlog_CdC!J:J,"Élevé")</f>
        <v/>
      </c>
    </row>
    <row r="7">
      <c r="A7" s="6" t="inlineStr">
        <is>
          <t>Tâches terminées</t>
        </is>
      </c>
      <c r="B7" s="7">
        <f>COUNTIF(Backlog_CdC!L:L,"Terminé")</f>
        <v/>
      </c>
    </row>
    <row r="8">
      <c r="A8" s="6" t="inlineStr">
        <is>
          <t>Avancement global (%)</t>
        </is>
      </c>
      <c r="B8" s="8">
        <f>IF(B2=0,0,B7/B2)</f>
        <v/>
      </c>
    </row>
    <row r="10">
      <c r="A10" s="5" t="inlineStr">
        <is>
          <t>Module</t>
        </is>
      </c>
      <c r="B10" s="5" t="inlineStr">
        <is>
          <t>Effort total (h)</t>
        </is>
      </c>
      <c r="C10" s="5" t="inlineStr">
        <is>
          <t>Nombre de tâches</t>
        </is>
      </c>
    </row>
    <row r="11">
      <c r="A11" t="inlineStr">
        <is>
          <t>Authentification</t>
        </is>
      </c>
      <c r="B11">
        <f>SUMIFS(Backlog_CdC!F:F,Backlog_CdC!B:B,A11)</f>
        <v/>
      </c>
      <c r="C11">
        <f>COUNTIFS(Backlog_CdC!B:B,A11)</f>
        <v/>
      </c>
    </row>
    <row r="12">
      <c r="A12" t="inlineStr">
        <is>
          <t>Produits</t>
        </is>
      </c>
      <c r="B12">
        <f>SUMIFS(Backlog_CdC!F:F,Backlog_CdC!B:B,A12)</f>
        <v/>
      </c>
      <c r="C12">
        <f>COUNTIFS(Backlog_CdC!B:B,A12)</f>
        <v/>
      </c>
    </row>
    <row r="13">
      <c r="A13" t="inlineStr">
        <is>
          <t>Panier</t>
        </is>
      </c>
      <c r="B13">
        <f>SUMIFS(Backlog_CdC!F:F,Backlog_CdC!B:B,A13)</f>
        <v/>
      </c>
      <c r="C13">
        <f>COUNTIFS(Backlog_CdC!B:B,A13)</f>
        <v/>
      </c>
    </row>
    <row r="14">
      <c r="A14" t="inlineStr">
        <is>
          <t>Commandes</t>
        </is>
      </c>
      <c r="B14">
        <f>SUMIFS(Backlog_CdC!F:F,Backlog_CdC!B:B,A14)</f>
        <v/>
      </c>
      <c r="C14">
        <f>COUNTIFS(Backlog_CdC!B:B,A14)</f>
        <v/>
      </c>
    </row>
    <row r="15">
      <c r="A15" t="inlineStr">
        <is>
          <t>Réseau Serveur</t>
        </is>
      </c>
      <c r="B15">
        <f>SUMIFS(Backlog_CdC!F:F,Backlog_CdC!B:B,A15)</f>
        <v/>
      </c>
      <c r="C15">
        <f>COUNTIFS(Backlog_CdC!B:B,A15)</f>
        <v/>
      </c>
    </row>
    <row r="16">
      <c r="A16" t="inlineStr">
        <is>
          <t>Base de données</t>
        </is>
      </c>
      <c r="B16">
        <f>SUMIFS(Backlog_CdC!F:F,Backlog_CdC!B:B,A16)</f>
        <v/>
      </c>
      <c r="C16">
        <f>COUNTIFS(Backlog_CdC!B:B,A16)</f>
        <v/>
      </c>
    </row>
    <row r="17">
      <c r="A17" t="inlineStr">
        <is>
          <t>Client</t>
        </is>
      </c>
      <c r="B17">
        <f>SUMIFS(Backlog_CdC!F:F,Backlog_CdC!B:B,A17)</f>
        <v/>
      </c>
      <c r="C17">
        <f>COUNTIFS(Backlog_CdC!B:B,A17)</f>
        <v/>
      </c>
    </row>
    <row r="18">
      <c r="A18" t="inlineStr">
        <is>
          <t>Documentation Déploiement</t>
        </is>
      </c>
      <c r="B18">
        <f>SUMIFS(Backlog_CdC!F:F,Backlog_CdC!B:B,A18)</f>
        <v/>
      </c>
      <c r="C18">
        <f>COUNTIFS(Backlog_CdC!B:B,A18)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2026-03-25T00:39:53Z</dcterms:created>
  <dcterms:modified xsi:type="dcterms:W3CDTF">2026-03-25T00:39:53Z</dcterms:modified>
</cp:coreProperties>
</file>